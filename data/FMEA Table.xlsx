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ce1dd97e66679/Desktop/4. GitHub/predictive-maintenance/"/>
    </mc:Choice>
  </mc:AlternateContent>
  <xr:revisionPtr revIDLastSave="128" documentId="8_{5E8D941C-4524-4BE9-8BF1-E426D0CA1832}" xr6:coauthVersionLast="47" xr6:coauthVersionMax="47" xr10:uidLastSave="{2ED4BC24-D023-4D79-A87D-0F8C33E45049}"/>
  <bookViews>
    <workbookView xWindow="-120" yWindow="-120" windowWidth="29040" windowHeight="15720" xr2:uid="{C22AFF9F-54DA-4A62-B275-D002339C8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J4" i="1"/>
  <c r="J5" i="1"/>
  <c r="J6" i="1"/>
  <c r="J7" i="1"/>
  <c r="J8" i="1"/>
  <c r="J9" i="1"/>
  <c r="J10" i="1"/>
  <c r="J3" i="1"/>
</calcChain>
</file>

<file path=xl/sharedStrings.xml><?xml version="1.0" encoding="utf-8"?>
<sst xmlns="http://schemas.openxmlformats.org/spreadsheetml/2006/main" count="118" uniqueCount="67">
  <si>
    <t>FMEA Table</t>
  </si>
  <si>
    <t>Subsystem</t>
  </si>
  <si>
    <t>Function</t>
  </si>
  <si>
    <t>Failure Mode</t>
  </si>
  <si>
    <t>Failure Cause</t>
  </si>
  <si>
    <t>Failure Effect</t>
  </si>
  <si>
    <t>Current Controls</t>
  </si>
  <si>
    <t>Severity</t>
  </si>
  <si>
    <t>Occurrence</t>
  </si>
  <si>
    <t>RPN</t>
  </si>
  <si>
    <t>Detection</t>
  </si>
  <si>
    <t>motor drive</t>
  </si>
  <si>
    <t>cooling</t>
  </si>
  <si>
    <t>power supply</t>
  </si>
  <si>
    <t>lubrication</t>
  </si>
  <si>
    <t>mechanical</t>
  </si>
  <si>
    <t>electrical</t>
  </si>
  <si>
    <t>system monitoring</t>
  </si>
  <si>
    <t>convert electrical energy to rotational power</t>
  </si>
  <si>
    <t>maintain alignment</t>
  </si>
  <si>
    <t>regulate motor temperature</t>
  </si>
  <si>
    <t>provide stable voltage</t>
  </si>
  <si>
    <t>reduce friction</t>
  </si>
  <si>
    <t>transmit torque</t>
  </si>
  <si>
    <t>start/stop motor</t>
  </si>
  <si>
    <t>detect abnormal conditions</t>
  </si>
  <si>
    <t>bearing wear/failure</t>
  </si>
  <si>
    <t>shaft misalignment</t>
  </si>
  <si>
    <t>blocked cooling fins</t>
  </si>
  <si>
    <t>voltage imbalance</t>
  </si>
  <si>
    <t>insufficient lubrication</t>
  </si>
  <si>
    <t>coupling wear</t>
  </si>
  <si>
    <t>contactor failure</t>
  </si>
  <si>
    <t>no early-warning detection</t>
  </si>
  <si>
    <t>normal wear, poor lubrication, misalignment</t>
  </si>
  <si>
    <t>improper installation, thermal growth</t>
  </si>
  <si>
    <t>dust, poor housekeeping</t>
  </si>
  <si>
    <t>transformer issues, poor wiring</t>
  </si>
  <si>
    <t>missed PM, seal leaks</t>
  </si>
  <si>
    <t>misalignment, high load</t>
  </si>
  <si>
    <t>coil overheating, debris</t>
  </si>
  <si>
    <t>no sensors installed</t>
  </si>
  <si>
    <t>overheating --&gt; catastrophic motor failure --&gt; downtime</t>
  </si>
  <si>
    <t>vibrations --&gt; accelerated bearing failure</t>
  </si>
  <si>
    <t>overheating --&gt; insulation breakdown</t>
  </si>
  <si>
    <t>overcurrent --&gt; motor overheating</t>
  </si>
  <si>
    <t>bearing wear --&gt; failure</t>
  </si>
  <si>
    <t>vibration --&gt; loss of torque</t>
  </si>
  <si>
    <t>motor won't start --&gt; downtime</t>
  </si>
  <si>
    <t>failures occur w/o warning</t>
  </si>
  <si>
    <t>time based PM every 90 days</t>
  </si>
  <si>
    <t>visual inspection</t>
  </si>
  <si>
    <t>operator rounds</t>
  </si>
  <si>
    <t>electrical checks</t>
  </si>
  <si>
    <t>manual greasing</t>
  </si>
  <si>
    <t>periodic testing</t>
  </si>
  <si>
    <t>none</t>
  </si>
  <si>
    <t>After PdM</t>
  </si>
  <si>
    <t>New Controls</t>
  </si>
  <si>
    <t>vibration trending + temperature sensors</t>
  </si>
  <si>
    <t>vibration spectrum monitoring + alignment sensors</t>
  </si>
  <si>
    <t>temperature trending + airflow differential sensor</t>
  </si>
  <si>
    <t>motor current signature analysis (MCSA)</t>
  </si>
  <si>
    <t>lubrication pressure sensors + automatic alerts</t>
  </si>
  <si>
    <t>vibration monitoring + torque signature analysis</t>
  </si>
  <si>
    <t>coil temperature sensors + current signature alerts</t>
  </si>
  <si>
    <t>full sensor package + anomaly detection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</si>
</sst>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EC07-64BF-4412-BE81-7FD891A9F8B8}">
  <dimension ref="A1:J21"/>
  <sheetViews>
    <sheetView tabSelected="1" zoomScale="80" zoomScaleNormal="80" workbookViewId="0">
      <selection activeCell="M14" sqref="M14"/>
    </sheetView>
  </sheetViews>
  <sheetFormatPr defaultRowHeight="15" x14ac:dyDescent="0.25"/>
  <cols>
    <col min="1" max="9" width="20.7109375" customWidth="1"/>
  </cols>
  <sheetData>
    <row r="1" spans="1:10" ht="21" x14ac:dyDescent="0.35">
      <c r="A1" s="8" t="s">
        <v>0</v>
      </c>
    </row>
    <row r="2" spans="1:10" s="1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9</v>
      </c>
    </row>
    <row r="3" spans="1:10" s="1" customFormat="1" ht="45" x14ac:dyDescent="0.25">
      <c r="A3" s="2" t="s">
        <v>11</v>
      </c>
      <c r="B3" s="2" t="s">
        <v>18</v>
      </c>
      <c r="C3" s="2" t="s">
        <v>26</v>
      </c>
      <c r="D3" s="2" t="s">
        <v>34</v>
      </c>
      <c r="E3" s="2" t="s">
        <v>42</v>
      </c>
      <c r="F3" s="2" t="s">
        <v>50</v>
      </c>
      <c r="G3" s="3">
        <v>9</v>
      </c>
      <c r="H3" s="3">
        <v>7</v>
      </c>
      <c r="I3" s="3">
        <v>6</v>
      </c>
      <c r="J3" s="3">
        <f>G3*H3*I3</f>
        <v>378</v>
      </c>
    </row>
    <row r="4" spans="1:10" s="1" customFormat="1" ht="45" x14ac:dyDescent="0.25">
      <c r="A4" s="2" t="s">
        <v>11</v>
      </c>
      <c r="B4" s="2" t="s">
        <v>19</v>
      </c>
      <c r="C4" s="2" t="s">
        <v>27</v>
      </c>
      <c r="D4" s="2" t="s">
        <v>35</v>
      </c>
      <c r="E4" s="2" t="s">
        <v>43</v>
      </c>
      <c r="F4" s="2" t="s">
        <v>51</v>
      </c>
      <c r="G4" s="3">
        <v>7</v>
      </c>
      <c r="H4" s="3">
        <v>5</v>
      </c>
      <c r="I4" s="3">
        <v>5</v>
      </c>
      <c r="J4" s="3">
        <f t="shared" ref="J4:J10" si="0">G4*H4*I4</f>
        <v>175</v>
      </c>
    </row>
    <row r="5" spans="1:10" s="1" customFormat="1" ht="30" x14ac:dyDescent="0.25">
      <c r="A5" s="2" t="s">
        <v>12</v>
      </c>
      <c r="B5" s="2" t="s">
        <v>20</v>
      </c>
      <c r="C5" s="2" t="s">
        <v>28</v>
      </c>
      <c r="D5" s="2" t="s">
        <v>36</v>
      </c>
      <c r="E5" s="2" t="s">
        <v>44</v>
      </c>
      <c r="F5" s="2" t="s">
        <v>52</v>
      </c>
      <c r="G5" s="3">
        <v>8</v>
      </c>
      <c r="H5" s="3">
        <v>4</v>
      </c>
      <c r="I5" s="3">
        <v>4</v>
      </c>
      <c r="J5" s="3">
        <f t="shared" si="0"/>
        <v>128</v>
      </c>
    </row>
    <row r="6" spans="1:10" s="1" customFormat="1" ht="30" x14ac:dyDescent="0.25">
      <c r="A6" s="2" t="s">
        <v>13</v>
      </c>
      <c r="B6" s="2" t="s">
        <v>21</v>
      </c>
      <c r="C6" s="2" t="s">
        <v>29</v>
      </c>
      <c r="D6" s="2" t="s">
        <v>37</v>
      </c>
      <c r="E6" s="2" t="s">
        <v>45</v>
      </c>
      <c r="F6" s="2" t="s">
        <v>53</v>
      </c>
      <c r="G6" s="3">
        <v>6</v>
      </c>
      <c r="H6" s="3">
        <v>3</v>
      </c>
      <c r="I6" s="3">
        <v>6</v>
      </c>
      <c r="J6" s="3">
        <f t="shared" si="0"/>
        <v>108</v>
      </c>
    </row>
    <row r="7" spans="1:10" s="1" customFormat="1" ht="30" x14ac:dyDescent="0.25">
      <c r="A7" s="2" t="s">
        <v>14</v>
      </c>
      <c r="B7" s="2" t="s">
        <v>22</v>
      </c>
      <c r="C7" s="2" t="s">
        <v>30</v>
      </c>
      <c r="D7" s="2" t="s">
        <v>38</v>
      </c>
      <c r="E7" s="2" t="s">
        <v>46</v>
      </c>
      <c r="F7" s="2" t="s">
        <v>54</v>
      </c>
      <c r="G7" s="3">
        <v>7</v>
      </c>
      <c r="H7" s="3">
        <v>6</v>
      </c>
      <c r="I7" s="3">
        <v>5</v>
      </c>
      <c r="J7" s="3">
        <f t="shared" si="0"/>
        <v>210</v>
      </c>
    </row>
    <row r="8" spans="1:10" s="1" customFormat="1" ht="30" x14ac:dyDescent="0.25">
      <c r="A8" s="2" t="s">
        <v>15</v>
      </c>
      <c r="B8" s="2" t="s">
        <v>23</v>
      </c>
      <c r="C8" s="2" t="s">
        <v>31</v>
      </c>
      <c r="D8" s="2" t="s">
        <v>39</v>
      </c>
      <c r="E8" s="2" t="s">
        <v>47</v>
      </c>
      <c r="F8" s="2" t="s">
        <v>51</v>
      </c>
      <c r="G8" s="3">
        <v>6</v>
      </c>
      <c r="H8" s="3">
        <v>4</v>
      </c>
      <c r="I8" s="3">
        <v>5</v>
      </c>
      <c r="J8" s="3">
        <f t="shared" si="0"/>
        <v>120</v>
      </c>
    </row>
    <row r="9" spans="1:10" s="1" customFormat="1" ht="30" x14ac:dyDescent="0.25">
      <c r="A9" s="2" t="s">
        <v>16</v>
      </c>
      <c r="B9" s="2" t="s">
        <v>24</v>
      </c>
      <c r="C9" s="2" t="s">
        <v>32</v>
      </c>
      <c r="D9" s="2" t="s">
        <v>40</v>
      </c>
      <c r="E9" s="2" t="s">
        <v>48</v>
      </c>
      <c r="F9" s="2" t="s">
        <v>55</v>
      </c>
      <c r="G9" s="3">
        <v>6</v>
      </c>
      <c r="H9" s="3">
        <v>3</v>
      </c>
      <c r="I9" s="3">
        <v>4</v>
      </c>
      <c r="J9" s="3">
        <f t="shared" si="0"/>
        <v>72</v>
      </c>
    </row>
    <row r="10" spans="1:10" s="1" customFormat="1" ht="30" x14ac:dyDescent="0.25">
      <c r="A10" s="2" t="s">
        <v>17</v>
      </c>
      <c r="B10" s="2" t="s">
        <v>25</v>
      </c>
      <c r="C10" s="2" t="s">
        <v>33</v>
      </c>
      <c r="D10" s="2" t="s">
        <v>41</v>
      </c>
      <c r="E10" s="2" t="s">
        <v>49</v>
      </c>
      <c r="F10" s="2" t="s">
        <v>56</v>
      </c>
      <c r="G10" s="3">
        <v>8</v>
      </c>
      <c r="H10" s="3">
        <v>7</v>
      </c>
      <c r="I10" s="3">
        <v>10</v>
      </c>
      <c r="J10" s="3">
        <f t="shared" si="0"/>
        <v>560</v>
      </c>
    </row>
    <row r="11" spans="1:10" s="1" customFormat="1" x14ac:dyDescent="0.25">
      <c r="A11" s="5"/>
      <c r="B11" s="5"/>
      <c r="C11" s="5"/>
      <c r="D11" s="5"/>
      <c r="E11" s="5"/>
      <c r="F11" s="5"/>
      <c r="G11" s="6"/>
      <c r="H11" s="6"/>
      <c r="I11" s="6"/>
      <c r="J11" s="6"/>
    </row>
    <row r="12" spans="1:10" ht="21" x14ac:dyDescent="0.25">
      <c r="A12" s="7" t="s">
        <v>57</v>
      </c>
    </row>
    <row r="13" spans="1:10" x14ac:dyDescent="0.25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58</v>
      </c>
      <c r="G13" s="4" t="s">
        <v>7</v>
      </c>
      <c r="H13" s="4" t="s">
        <v>8</v>
      </c>
      <c r="I13" s="4" t="s">
        <v>10</v>
      </c>
      <c r="J13" s="4" t="s">
        <v>9</v>
      </c>
    </row>
    <row r="14" spans="1:10" ht="45" x14ac:dyDescent="0.25">
      <c r="A14" s="2" t="s">
        <v>11</v>
      </c>
      <c r="B14" s="2" t="s">
        <v>18</v>
      </c>
      <c r="C14" s="2" t="s">
        <v>26</v>
      </c>
      <c r="D14" s="2" t="s">
        <v>34</v>
      </c>
      <c r="E14" s="2" t="s">
        <v>42</v>
      </c>
      <c r="F14" s="2" t="s">
        <v>59</v>
      </c>
      <c r="G14" s="3">
        <v>9</v>
      </c>
      <c r="H14" s="3">
        <v>4</v>
      </c>
      <c r="I14" s="3">
        <v>2</v>
      </c>
      <c r="J14" s="3">
        <f>G14*H14*I14</f>
        <v>72</v>
      </c>
    </row>
    <row r="15" spans="1:10" ht="45" x14ac:dyDescent="0.25">
      <c r="A15" s="2" t="s">
        <v>11</v>
      </c>
      <c r="B15" s="2" t="s">
        <v>19</v>
      </c>
      <c r="C15" s="2" t="s">
        <v>27</v>
      </c>
      <c r="D15" s="2" t="s">
        <v>35</v>
      </c>
      <c r="E15" s="2" t="s">
        <v>43</v>
      </c>
      <c r="F15" s="2" t="s">
        <v>60</v>
      </c>
      <c r="G15" s="3">
        <v>7</v>
      </c>
      <c r="H15" s="3">
        <v>3</v>
      </c>
      <c r="I15" s="3">
        <v>2</v>
      </c>
      <c r="J15" s="3">
        <f t="shared" ref="J15:J21" si="1">G15*H15*I15</f>
        <v>42</v>
      </c>
    </row>
    <row r="16" spans="1:10" ht="45" x14ac:dyDescent="0.25">
      <c r="A16" s="2" t="s">
        <v>12</v>
      </c>
      <c r="B16" s="2" t="s">
        <v>20</v>
      </c>
      <c r="C16" s="2" t="s">
        <v>28</v>
      </c>
      <c r="D16" s="2" t="s">
        <v>36</v>
      </c>
      <c r="E16" s="2" t="s">
        <v>44</v>
      </c>
      <c r="F16" s="2" t="s">
        <v>61</v>
      </c>
      <c r="G16" s="3">
        <v>8</v>
      </c>
      <c r="H16" s="3">
        <v>2</v>
      </c>
      <c r="I16" s="3">
        <v>2</v>
      </c>
      <c r="J16" s="3">
        <f t="shared" si="1"/>
        <v>32</v>
      </c>
    </row>
    <row r="17" spans="1:10" ht="45" x14ac:dyDescent="0.25">
      <c r="A17" s="2" t="s">
        <v>13</v>
      </c>
      <c r="B17" s="2" t="s">
        <v>21</v>
      </c>
      <c r="C17" s="2" t="s">
        <v>29</v>
      </c>
      <c r="D17" s="2" t="s">
        <v>37</v>
      </c>
      <c r="E17" s="2" t="s">
        <v>45</v>
      </c>
      <c r="F17" s="2" t="s">
        <v>62</v>
      </c>
      <c r="G17" s="3">
        <v>6</v>
      </c>
      <c r="H17" s="3">
        <v>2</v>
      </c>
      <c r="I17" s="3">
        <v>3</v>
      </c>
      <c r="J17" s="3">
        <f t="shared" si="1"/>
        <v>36</v>
      </c>
    </row>
    <row r="18" spans="1:10" ht="45" x14ac:dyDescent="0.25">
      <c r="A18" s="2" t="s">
        <v>14</v>
      </c>
      <c r="B18" s="2" t="s">
        <v>22</v>
      </c>
      <c r="C18" s="2" t="s">
        <v>30</v>
      </c>
      <c r="D18" s="2" t="s">
        <v>38</v>
      </c>
      <c r="E18" s="2" t="s">
        <v>46</v>
      </c>
      <c r="F18" s="2" t="s">
        <v>63</v>
      </c>
      <c r="G18" s="3">
        <v>7</v>
      </c>
      <c r="H18" s="3">
        <v>3</v>
      </c>
      <c r="I18" s="3">
        <v>2</v>
      </c>
      <c r="J18" s="3">
        <f t="shared" si="1"/>
        <v>42</v>
      </c>
    </row>
    <row r="19" spans="1:10" ht="45" x14ac:dyDescent="0.25">
      <c r="A19" s="2" t="s">
        <v>15</v>
      </c>
      <c r="B19" s="2" t="s">
        <v>23</v>
      </c>
      <c r="C19" s="2" t="s">
        <v>31</v>
      </c>
      <c r="D19" s="2" t="s">
        <v>39</v>
      </c>
      <c r="E19" s="2" t="s">
        <v>47</v>
      </c>
      <c r="F19" s="2" t="s">
        <v>64</v>
      </c>
      <c r="G19" s="3">
        <v>6</v>
      </c>
      <c r="H19" s="3">
        <v>2</v>
      </c>
      <c r="I19" s="3">
        <v>2</v>
      </c>
      <c r="J19" s="3">
        <f t="shared" si="1"/>
        <v>24</v>
      </c>
    </row>
    <row r="20" spans="1:10" ht="45" x14ac:dyDescent="0.25">
      <c r="A20" s="2" t="s">
        <v>16</v>
      </c>
      <c r="B20" s="2" t="s">
        <v>24</v>
      </c>
      <c r="C20" s="2" t="s">
        <v>32</v>
      </c>
      <c r="D20" s="2" t="s">
        <v>40</v>
      </c>
      <c r="E20" s="2" t="s">
        <v>48</v>
      </c>
      <c r="F20" s="2" t="s">
        <v>65</v>
      </c>
      <c r="G20" s="3">
        <v>6</v>
      </c>
      <c r="H20" s="3">
        <v>2</v>
      </c>
      <c r="I20" s="3">
        <v>3</v>
      </c>
      <c r="J20" s="3">
        <f t="shared" si="1"/>
        <v>36</v>
      </c>
    </row>
    <row r="21" spans="1:10" ht="45" x14ac:dyDescent="0.25">
      <c r="A21" s="2" t="s">
        <v>17</v>
      </c>
      <c r="B21" s="2" t="s">
        <v>25</v>
      </c>
      <c r="C21" s="2" t="s">
        <v>33</v>
      </c>
      <c r="D21" s="2" t="s">
        <v>41</v>
      </c>
      <c r="E21" s="2" t="s">
        <v>49</v>
      </c>
      <c r="F21" s="2" t="s">
        <v>66</v>
      </c>
      <c r="G21" s="3">
        <v>8</v>
      </c>
      <c r="H21" s="3">
        <v>2</v>
      </c>
      <c r="I21" s="3">
        <v>1</v>
      </c>
      <c r="J21" s="3">
        <f t="shared" si="1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Coley Costello</dc:creator>
  <cp:lastModifiedBy>Coley Costello</cp:lastModifiedBy>
  <dcterms:created xsi:type="dcterms:W3CDTF">2025-12-01T22:16:19Z</dcterms:created>
  <dcterms:modified xsi:type="dcterms:W3CDTF">2025-12-01T22:35:29Z</dcterms:modified>
</cp:coreProperties>
</file>